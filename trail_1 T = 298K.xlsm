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pen\Downloads\"/>
    </mc:Choice>
  </mc:AlternateContent>
  <xr:revisionPtr revIDLastSave="0" documentId="13_ncr:2001_{C54E18A6-3D5E-41B7-AC3E-5D5A4AB11BE7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Main" sheetId="1" r:id="rId1"/>
    <sheet name="Files" sheetId="6" r:id="rId2"/>
    <sheet name="1.soln_vs_soln_number" sheetId="8" r:id="rId3"/>
    <sheet name="2.rop_vs_soln_number" sheetId="9" r:id="rId4"/>
  </sheets>
  <definedNames>
    <definedName name="_xlchart.v1.0" hidden="1">'1.soln_vs_soln_number'!$A$2:$A$7</definedName>
    <definedName name="_xlchart.v1.1" hidden="1">'1.soln_vs_soln_number'!$D$1</definedName>
    <definedName name="_xlchart.v1.2" hidden="1">'1.soln_vs_soln_number'!$D$2:$D$7</definedName>
    <definedName name="_xlchart.v1.3" hidden="1">'1.soln_vs_soln_number'!$F$1</definedName>
    <definedName name="_xlchart.v1.4" hidden="1">'1.soln_vs_soln_number'!$F$2:$F$7</definedName>
    <definedName name="_xlchart.v1.5" hidden="1">'1.soln_vs_soln_number'!$H$1</definedName>
    <definedName name="_xlchart.v1.6" hidden="1">'1.soln_vs_soln_number'!$H$2:$H$7</definedName>
  </definedNames>
  <calcPr calcId="145621"/>
  <fileRecoveryPr repairLoad="1"/>
</workbook>
</file>

<file path=xl/sharedStrings.xml><?xml version="1.0" encoding="utf-8"?>
<sst xmlns="http://schemas.openxmlformats.org/spreadsheetml/2006/main" count="41" uniqueCount="41">
  <si>
    <t>Otherwise, the macro runs when the workbook is opened.</t>
  </si>
  <si>
    <t xml:space="preserve">You may be prompted to Enable Content (macros) before the macro will run.   </t>
  </si>
  <si>
    <t>Please enable the content so the macro will run.</t>
  </si>
  <si>
    <t>To rerun the macro after the workbook is open, use Alt-F8 key and select the macro you want to use.  Process_All_CSVs will simply</t>
  </si>
  <si>
    <t>load the .csv files without any file selection dialog.  Select_Files will present a selection dialog.</t>
  </si>
  <si>
    <t>Instructions for Usage</t>
  </si>
  <si>
    <t>.csv Files Loaded</t>
  </si>
  <si>
    <t>This file is compatible with Excel 2007 and newer.  If you need a file compatible with Excel 97-2003, you will need to request it.</t>
  </si>
  <si>
    <t>This file should be placed in the CHEMKIN install tree data directory if you want to use this Excel-macro method to load</t>
  </si>
  <si>
    <t>the .csv files created by the CHEMKIN post-processing "Use Excel" step.  The presence of this file will trigger CHEMKIN-PRO 15113</t>
  </si>
  <si>
    <t>to copy this file to your working (or harvest) directory and launch this file with Excel.  The macros within this file will look for a</t>
  </si>
  <si>
    <t>list of the .csv files produced by post-processing and load them as worksheets into the copy of this Excel file.</t>
  </si>
  <si>
    <t>You can also manually copy this Excel file to a directory and open it.  If there is no file named "CSV_Load_List.csv" then you will be</t>
  </si>
  <si>
    <t>presented with a file selection dialog allowing you to browse to a directory and select .csv files.</t>
  </si>
  <si>
    <t>© 2023 ANSYS, Inc.  Unauthorized use, distribution, or duplication is prohibited</t>
  </si>
  <si>
    <t>2.rop_vs_soln_number.csv</t>
  </si>
  <si>
    <t>1.soln_vs_soln_number.csv</t>
  </si>
  <si>
    <t xml:space="preserve"> Mole_fraction_NH3_()</t>
  </si>
  <si>
    <t xml:space="preserve"> Mole_fraction_NO2_()</t>
  </si>
  <si>
    <t xml:space="preserve"> Mole_fraction_N2O_()</t>
  </si>
  <si>
    <t xml:space="preserve"> Mole_fraction_NO_()</t>
  </si>
  <si>
    <t xml:space="preserve"> Mole_fraction_HO2_()</t>
  </si>
  <si>
    <t xml:space="preserve"> Mole_fraction_OH_()</t>
  </si>
  <si>
    <t xml:space="preserve"> Mole_fraction_O2_()</t>
  </si>
  <si>
    <t xml:space="preserve"> Mole_fraction_H_()</t>
  </si>
  <si>
    <t xml:space="preserve"> Mole_fraction_N2_()</t>
  </si>
  <si>
    <t xml:space="preserve"> Pressure_(atm)</t>
  </si>
  <si>
    <t xml:space="preserve"> Temperature_(K)</t>
  </si>
  <si>
    <t>Solution_No_()</t>
  </si>
  <si>
    <t xml:space="preserve"> H_ROP_GasRxn#130_(mole/cm3-sec)</t>
  </si>
  <si>
    <t xml:space="preserve"> H_ROP_GasRxn#113_(mole/cm3-sec)</t>
  </si>
  <si>
    <t xml:space="preserve"> H_ROP_GasRxn#85_(mole/cm3-sec)</t>
  </si>
  <si>
    <t xml:space="preserve"> H_ROP_GasRxn#80_(mole/cm3-sec)</t>
  </si>
  <si>
    <t xml:space="preserve"> H_ROP_GasRxn#39_(mole/cm3-sec)</t>
  </si>
  <si>
    <t xml:space="preserve"> H_ROP_GasRxn#26_(mole/cm3-sec)</t>
  </si>
  <si>
    <t xml:space="preserve"> H_ROP_GasRxn#25_(mole/cm3-sec)</t>
  </si>
  <si>
    <t xml:space="preserve"> H_ROP_GasRxn#5_(mole/cm3-sec)</t>
  </si>
  <si>
    <t xml:space="preserve"> H_ROP_GasRxn#3_(mole/cm3-sec)</t>
  </si>
  <si>
    <t xml:space="preserve"> H_ROP_GasRxn#2_(mole/cm3-sec)</t>
  </si>
  <si>
    <t xml:space="preserve"> H_ROP_GasRxn_Total_(mole/cm3-sec)</t>
  </si>
  <si>
    <t>φ (Equivalence Ratio)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</si>
</sst>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horizontal="left" indent="3"/>
    </xf>
    <xf numFmtId="0" fontId="0" fillId="0" borderId="0" xfId="0" applyAlignment="1">
      <alignment horizontal="left" indent="1"/>
    </xf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1" fontId="0" fillId="0" borderId="0" xfId="0" applyNumberFormat="1"/>
    <xf numFmtId="1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baseline="0"/>
              <a:t>φ </a:t>
            </a:r>
            <a:r>
              <a:rPr lang="en-IN" sz="1400" b="1" i="0" u="none" strike="noStrike" baseline="0"/>
              <a:t>vs Temperature (K) - flame temp trend.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'1.soln_vs_soln_number'!$B$1</c:f>
              <c:strCache>
                <c:ptCount val="1"/>
                <c:pt idx="0">
                  <c:v> Temperature_(K)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'1.soln_vs_soln_number'!$B$2:$B$7</c:f>
              <c:numCache>
                <c:formatCode>0.00E+00</c:formatCode>
                <c:ptCount val="6"/>
                <c:pt idx="0">
                  <c:v>1842.046</c:v>
                </c:pt>
                <c:pt idx="1">
                  <c:v>1956.1179999999999</c:v>
                </c:pt>
                <c:pt idx="2">
                  <c:v>2035.8869999999999</c:v>
                </c:pt>
                <c:pt idx="3">
                  <c:v>1995.2560000000001</c:v>
                </c:pt>
                <c:pt idx="4">
                  <c:v>1933.528</c:v>
                </c:pt>
                <c:pt idx="5">
                  <c:v>1873.615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8D-4E27-A49E-6B93EA3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2490783"/>
        <c:axId val="2042494143"/>
      </c:lineChart>
      <c:catAx>
        <c:axId val="2042490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 (</a:t>
                </a:r>
                <a:r>
                  <a:rPr lang="en-IN"/>
                  <a:t>Equivalence Ratio)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2494143"/>
        <c:crosses val="autoZero"/>
        <c:auto val="1"/>
        <c:lblAlgn val="ctr"/>
        <c:lblOffset val="100"/>
        <c:noMultiLvlLbl val="0"/>
      </c:catAx>
      <c:valAx>
        <c:axId val="204249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 Temperature_(K)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2490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φ </a:t>
            </a:r>
            <a:r>
              <a:rPr lang="en-IN"/>
              <a:t>vs Mole_fraction_NO, NO₂, N₂O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'1.soln_vs_soln_number'!$I$1</c:f>
              <c:strCache>
                <c:ptCount val="1"/>
                <c:pt idx="0">
                  <c:v> Mole_fraction_NO_()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'1.soln_vs_soln_number'!$I$2:$I$7</c:f>
              <c:numCache>
                <c:formatCode>0.00E+00</c:formatCode>
                <c:ptCount val="6"/>
                <c:pt idx="0">
                  <c:v>3.6943869999999999E-3</c:v>
                </c:pt>
                <c:pt idx="1">
                  <c:v>4.0191259999999996E-3</c:v>
                </c:pt>
                <c:pt idx="2">
                  <c:v>2.0346629999999999E-3</c:v>
                </c:pt>
                <c:pt idx="3">
                  <c:v>6.958194E-4</c:v>
                </c:pt>
                <c:pt idx="4">
                  <c:v>4.1242379999999998E-4</c:v>
                </c:pt>
                <c:pt idx="5">
                  <c:v>2.9600440000000002E-4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92-4283-8248-6B188972514F}"/>
            </c:ext>
          </c:extLst>
        </c:ser>
        <c:ser>
          <c:idx val="2"/>
          <c:order val="1"/>
          <c:tx>
            <c:strRef>
              <c:f>'1.soln_vs_soln_number'!$J$1</c:f>
              <c:strCache>
                <c:ptCount val="1"/>
                <c:pt idx="0">
                  <c:v> Mole_fraction_N2O_()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'1.soln_vs_soln_number'!$J$2:$J$7</c:f>
              <c:numCache>
                <c:formatCode>0.00E+00</c:formatCode>
                <c:ptCount val="6"/>
                <c:pt idx="0">
                  <c:v>1.1163220000000001E-3</c:v>
                </c:pt>
                <c:pt idx="1">
                  <c:v>4.4431510000000001E-4</c:v>
                </c:pt>
                <c:pt idx="2">
                  <c:v>2.015889E-4</c:v>
                </c:pt>
                <c:pt idx="3">
                  <c:v>1.3164319999999999E-4</c:v>
                </c:pt>
                <c:pt idx="4">
                  <c:v>1.095418E-4</c:v>
                </c:pt>
                <c:pt idx="5">
                  <c:v>1.067331E-4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92-4283-8248-6B188972514F}"/>
            </c:ext>
          </c:extLst>
        </c:ser>
        <c:ser>
          <c:idx val="3"/>
          <c:order val="2"/>
          <c:tx>
            <c:strRef>
              <c:f>'1.soln_vs_soln_number'!$K$1</c:f>
              <c:strCache>
                <c:ptCount val="1"/>
                <c:pt idx="0">
                  <c:v> Mole_fraction_NO2_()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'1.soln_vs_soln_number'!$K$2:$K$7</c:f>
              <c:numCache>
                <c:formatCode>0.00E+00</c:formatCode>
                <c:ptCount val="6"/>
                <c:pt idx="0">
                  <c:v>4.3809459999999998E-6</c:v>
                </c:pt>
                <c:pt idx="1">
                  <c:v>1.7282119999999999E-6</c:v>
                </c:pt>
                <c:pt idx="2">
                  <c:v>2.1454450000000001E-7</c:v>
                </c:pt>
                <c:pt idx="3">
                  <c:v>3.1266080000000003E-8</c:v>
                </c:pt>
                <c:pt idx="4">
                  <c:v>1.7868570000000001E-8</c:v>
                </c:pt>
                <c:pt idx="5">
                  <c:v>1.7517740000000002E-8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92-4283-8248-6B1889725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5776687"/>
        <c:axId val="1775775727"/>
      </c:lineChart>
      <c:catAx>
        <c:axId val="1775776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 (</a:t>
                </a:r>
                <a:r>
                  <a:rPr lang="en-IN"/>
                  <a:t>Equivalence Ratio)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775727"/>
        <c:crosses val="autoZero"/>
        <c:auto val="1"/>
        <c:lblAlgn val="ctr"/>
        <c:lblOffset val="100"/>
        <c:noMultiLvlLbl val="0"/>
      </c:catAx>
      <c:valAx>
        <c:axId val="1775775727"/>
        <c:scaling>
          <c:logBase val="10"/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Mole_fraction_NO, NO₂, N₂O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776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baseline="0"/>
              <a:t>φ </a:t>
            </a:r>
            <a:r>
              <a:rPr lang="en-IN" sz="1400" b="1" i="0" u="none" strike="noStrike" baseline="0"/>
              <a:t>vs </a:t>
            </a:r>
            <a:r>
              <a:rPr lang="en-IN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NH₃ (unburnt)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'1.soln_vs_soln_number'!$L$1</c:f>
              <c:strCache>
                <c:ptCount val="1"/>
                <c:pt idx="0">
                  <c:v> Mole_fraction_NH3_()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'1.soln_vs_soln_number'!$L$2:$L$7</c:f>
              <c:numCache>
                <c:formatCode>0.00E+00</c:formatCode>
                <c:ptCount val="6"/>
                <c:pt idx="0">
                  <c:v>2.7988189999999998E-4</c:v>
                </c:pt>
                <c:pt idx="1">
                  <c:v>2.4608900000000001E-4</c:v>
                </c:pt>
                <c:pt idx="2">
                  <c:v>7.3951650000000002E-4</c:v>
                </c:pt>
                <c:pt idx="3">
                  <c:v>4.9682370000000003E-3</c:v>
                </c:pt>
                <c:pt idx="4">
                  <c:v>1.166973E-2</c:v>
                </c:pt>
                <c:pt idx="5">
                  <c:v>2.0831659999999998E-2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D-425B-9797-4B4ACC054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22047"/>
        <c:axId val="497122527"/>
      </c:lineChart>
      <c:catAx>
        <c:axId val="4971220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 (</a:t>
                </a:r>
                <a:r>
                  <a:rPr lang="en-IN"/>
                  <a:t>Equivalence Ratio)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22527"/>
        <c:crosses val="autoZero"/>
        <c:auto val="1"/>
        <c:lblAlgn val="ctr"/>
        <c:lblOffset val="100"/>
        <c:noMultiLvlLbl val="0"/>
      </c:catAx>
      <c:valAx>
        <c:axId val="49712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Mole 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2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baseline="0"/>
              <a:t>φ </a:t>
            </a:r>
            <a:r>
              <a:rPr lang="en-IN" sz="1400" b="1" i="0" u="none" strike="noStrike" baseline="0"/>
              <a:t>vs O₂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'1.soln_vs_soln_number'!$F$1</c:f>
              <c:strCache>
                <c:ptCount val="1"/>
                <c:pt idx="0">
                  <c:v> Mole_fraction_O2_()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'1.soln_vs_soln_number'!$F$2:$F$7</c:f>
              <c:numCache>
                <c:formatCode>0.00E+00</c:formatCode>
                <c:ptCount val="6"/>
                <c:pt idx="0">
                  <c:v>3.0508919999999998E-2</c:v>
                </c:pt>
                <c:pt idx="1">
                  <c:v>1.433223E-2</c:v>
                </c:pt>
                <c:pt idx="2">
                  <c:v>3.3827079999999999E-3</c:v>
                </c:pt>
                <c:pt idx="3">
                  <c:v>2.219642E-3</c:v>
                </c:pt>
                <c:pt idx="4">
                  <c:v>2.2678870000000001E-3</c:v>
                </c:pt>
                <c:pt idx="5">
                  <c:v>2.6310050000000001E-3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1-4769-9193-042D03546331}"/>
            </c:ext>
          </c:extLst>
        </c:ser>
        <c:ser>
          <c:idx val="0"/>
          <c:order val="1"/>
          <c:tx>
            <c:strRef>
              <c:f>'1.soln_vs_soln_number'!$D$1</c:f>
              <c:strCache>
                <c:ptCount val="1"/>
                <c:pt idx="0">
                  <c:v> Mole_fraction_N2_()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'1.soln_vs_soln_number'!$D$2:$D$7</c:f>
              <c:numCache>
                <c:formatCode>0.00E+00</c:formatCode>
                <c:ptCount val="6"/>
                <c:pt idx="0">
                  <c:v>0.70117209999999996</c:v>
                </c:pt>
                <c:pt idx="1">
                  <c:v>0.6927759</c:v>
                </c:pt>
                <c:pt idx="2">
                  <c:v>0.6840463</c:v>
                </c:pt>
                <c:pt idx="3">
                  <c:v>0.66963629999999996</c:v>
                </c:pt>
                <c:pt idx="4">
                  <c:v>0.65477909999999995</c:v>
                </c:pt>
                <c:pt idx="5">
                  <c:v>0.6408741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C-4ACC-85DC-15004FAE3850}"/>
            </c:ext>
          </c:extLst>
        </c:ser>
        <c:ser>
          <c:idx val="2"/>
          <c:order val="2"/>
          <c:tx>
            <c:strRef>
              <c:f>'1.soln_vs_soln_number'!$H$1</c:f>
              <c:strCache>
                <c:ptCount val="1"/>
                <c:pt idx="0">
                  <c:v> Mole_fraction_HO2_()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'1.soln_vs_soln_number'!$H$2:$H$7</c:f>
              <c:numCache>
                <c:formatCode>0.00E+00</c:formatCode>
                <c:ptCount val="6"/>
                <c:pt idx="0">
                  <c:v>4.1069679999999998E-6</c:v>
                </c:pt>
                <c:pt idx="1">
                  <c:v>1.8596219999999999E-6</c:v>
                </c:pt>
                <c:pt idx="2">
                  <c:v>5.8543249999999998E-7</c:v>
                </c:pt>
                <c:pt idx="3">
                  <c:v>4.7811469999999999E-7</c:v>
                </c:pt>
                <c:pt idx="4">
                  <c:v>5.3423220000000003E-7</c:v>
                </c:pt>
                <c:pt idx="5">
                  <c:v>6.4196809999999996E-7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C-4ACC-85DC-15004FAE3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21087"/>
        <c:axId val="497124447"/>
      </c:lineChart>
      <c:catAx>
        <c:axId val="4971210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 (</a:t>
                </a:r>
                <a:r>
                  <a:rPr lang="en-IN"/>
                  <a:t>Equivalence Ratio)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24447"/>
        <c:crosses val="autoZero"/>
        <c:auto val="1"/>
        <c:lblAlgn val="ctr"/>
        <c:lblOffset val="100"/>
        <c:noMultiLvlLbl val="0"/>
      </c:catAx>
      <c:valAx>
        <c:axId val="497124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Mole 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21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φ </a:t>
            </a:r>
            <a:r>
              <a:rPr lang="en-IN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vs Radicals (</a:t>
            </a:r>
            <a:r>
              <a:rPr lang="en-IN" sz="1400" b="1" i="0" u="none" strike="noStrike" baseline="0"/>
              <a:t>OH, H, HO₂ </a:t>
            </a:r>
            <a:r>
              <a:rPr lang="en-IN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</a:t>
            </a:r>
            <a:endParaRPr lang="en-IN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'1.soln_vs_soln_number'!$E$1</c:f>
              <c:strCache>
                <c:ptCount val="1"/>
                <c:pt idx="0">
                  <c:v> Mole_fraction_H_()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'1.soln_vs_soln_number'!$E$2:$E$7</c:f>
              <c:numCache>
                <c:formatCode>0.00E+00</c:formatCode>
                <c:ptCount val="6"/>
                <c:pt idx="0">
                  <c:v>9.1296640000000006E-5</c:v>
                </c:pt>
                <c:pt idx="1">
                  <c:v>1.93585E-4</c:v>
                </c:pt>
                <c:pt idx="2">
                  <c:v>3.5749110000000002E-4</c:v>
                </c:pt>
                <c:pt idx="3">
                  <c:v>4.2457500000000001E-4</c:v>
                </c:pt>
                <c:pt idx="4">
                  <c:v>4.2650460000000001E-4</c:v>
                </c:pt>
                <c:pt idx="5">
                  <c:v>3.8613569999999998E-4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7-4DA4-A182-3FF5253FCD99}"/>
            </c:ext>
          </c:extLst>
        </c:ser>
        <c:ser>
          <c:idx val="2"/>
          <c:order val="1"/>
          <c:tx>
            <c:strRef>
              <c:f>'1.soln_vs_soln_number'!$G$1</c:f>
              <c:strCache>
                <c:ptCount val="1"/>
                <c:pt idx="0">
                  <c:v> Mole_fraction_OH_()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'1.soln_vs_soln_number'!$G$2:$G$7</c:f>
              <c:numCache>
                <c:formatCode>0.00E+00</c:formatCode>
                <c:ptCount val="6"/>
                <c:pt idx="0">
                  <c:v>2.1001190000000001E-3</c:v>
                </c:pt>
                <c:pt idx="1">
                  <c:v>2.5971079999999999E-3</c:v>
                </c:pt>
                <c:pt idx="2">
                  <c:v>1.526976E-3</c:v>
                </c:pt>
                <c:pt idx="3">
                  <c:v>5.1023119999999995E-4</c:v>
                </c:pt>
                <c:pt idx="4">
                  <c:v>2.7209389999999998E-4</c:v>
                </c:pt>
                <c:pt idx="5">
                  <c:v>1.6495769999999999E-4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E7-4DA4-A182-3FF5253FCD99}"/>
            </c:ext>
          </c:extLst>
        </c:ser>
        <c:ser>
          <c:idx val="3"/>
          <c:order val="2"/>
          <c:tx>
            <c:strRef>
              <c:f>'1.soln_vs_soln_number'!$H$1</c:f>
              <c:strCache>
                <c:ptCount val="1"/>
                <c:pt idx="0">
                  <c:v> Mole_fraction_HO2_()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'1.soln_vs_soln_number'!$A$2:$A$7</c:f>
              <c:numCache>
                <c:formatCode>0.00E+00</c:formatCode>
                <c:ptCount val="6"/>
                <c:pt idx="0">
                  <c:v>0.8</c:v>
                </c:pt>
                <c:pt idx="1">
                  <c:v>0.9</c:v>
                </c:pt>
                <c:pt idx="2">
                  <c:v>1</c:v>
                </c:pt>
                <c:pt idx="3">
                  <c:v>1.1000000000000001</c:v>
                </c:pt>
                <c:pt idx="4">
                  <c:v>1.2</c:v>
                </c:pt>
                <c:pt idx="5">
                  <c:v>1.3</c:v>
                </c:pt>
              </c:numCache>
            </c:numRef>
          </c:cat>
          <c:val>
            <c:numRef>
              <c:f>'1.soln_vs_soln_number'!$H$2:$H$7</c:f>
              <c:numCache>
                <c:formatCode>0.00E+00</c:formatCode>
                <c:ptCount val="6"/>
                <c:pt idx="0">
                  <c:v>4.1069679999999998E-6</c:v>
                </c:pt>
                <c:pt idx="1">
                  <c:v>1.8596219999999999E-6</c:v>
                </c:pt>
                <c:pt idx="2">
                  <c:v>5.8543249999999998E-7</c:v>
                </c:pt>
                <c:pt idx="3">
                  <c:v>4.7811469999999999E-7</c:v>
                </c:pt>
                <c:pt idx="4">
                  <c:v>5.3423220000000003E-7</c:v>
                </c:pt>
                <c:pt idx="5">
                  <c:v>6.4196809999999996E-7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E7-4DA4-A182-3FF5253FC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4464111"/>
        <c:axId val="1864464591"/>
      </c:lineChart>
      <c:catAx>
        <c:axId val="18644641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φ (</a:t>
                </a:r>
                <a:r>
                  <a:rPr lang="en-IN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Equivalence Ratio)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464591"/>
        <c:crosses val="autoZero"/>
        <c:auto val="1"/>
        <c:lblAlgn val="ctr"/>
        <c:lblOffset val="100"/>
        <c:noMultiLvlLbl val="0"/>
      </c:catAx>
      <c:valAx>
        <c:axId val="18644645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Mole 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464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1737360</xdr:colOff>
          <xdr:row>1</xdr:row>
          <xdr:rowOff>22860</xdr:rowOff>
        </xdr:from>
        <xdr:to>
          <xdr:col>0</xdr:col>
          <xdr:colOff>6347460</xdr:colOff>
          <xdr:row>1</xdr:row>
          <xdr:rowOff>327660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the .csv Files Listed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242424</xdr:colOff>
      <xdr:row>8</xdr:row>
      <xdr:rowOff>115614</xdr:rowOff>
    </xdr:from>
    <xdr:to>
      <xdr:col>3</xdr:col>
      <xdr:colOff>630622</xdr:colOff>
      <xdr:row>24</xdr:row>
      <xdr:rowOff>115500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5249D4-98AA-0180-B5B2-A34D798397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1395351</xdr:colOff>
      <xdr:row>8</xdr:row>
      <xdr:rowOff>79169</xdr:rowOff>
    </xdr:from>
    <xdr:to>
      <xdr:col>10</xdr:col>
      <xdr:colOff>806091</xdr:colOff>
      <xdr:row>28</xdr:row>
      <xdr:rowOff>143435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01F7C0-6DEF-A9A6-C6CF-FA227CD46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898780</xdr:colOff>
      <xdr:row>9</xdr:row>
      <xdr:rowOff>46382</xdr:rowOff>
    </xdr:from>
    <xdr:to>
      <xdr:col>16</xdr:col>
      <xdr:colOff>132521</xdr:colOff>
      <xdr:row>28</xdr:row>
      <xdr:rowOff>139148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CEB430-71FC-D840-CCC7-5A45C3EAC6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821376</xdr:colOff>
      <xdr:row>9</xdr:row>
      <xdr:rowOff>108857</xdr:rowOff>
    </xdr:from>
    <xdr:to>
      <xdr:col>6</xdr:col>
      <xdr:colOff>1300662</xdr:colOff>
      <xdr:row>28</xdr:row>
      <xdr:rowOff>159999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0F1017-5072-87A2-B7FC-355822BCF8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1408086</xdr:colOff>
      <xdr:row>31</xdr:row>
      <xdr:rowOff>45350</xdr:rowOff>
    </xdr:from>
    <xdr:to>
      <xdr:col>7</xdr:col>
      <xdr:colOff>1276598</xdr:colOff>
      <xdr:row>51</xdr:row>
      <xdr:rowOff>59377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DBCBE79-5878-B511-EA43-8C401FAF75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2"/>
  <sheetViews>
    <sheetView workbookViewId="0">
      <selection activeCell="B23" sqref="B23"/>
    </sheetView>
  </sheetViews>
  <sheetFormatPr defaultRowHeight="14.4" x14ac:dyDescent="0.3"/>
  <cols>
    <col min="1" max="1" width="2.88671875" customWidth="1"/>
    <col min="2" max="2" width="124.88671875" customWidth="1"/>
    <col min="3" max="3" width="3.44140625" customWidth="1"/>
    <col min="4" max="4" width="3.88671875" customWidth="1"/>
  </cols>
  <sheetData>
    <row r="1" spans="1:4" ht="23.4" x14ac:dyDescent="0.45">
      <c r="B1" s="5" t="s">
        <v>5</v>
      </c>
      <c r="D1" s="5"/>
    </row>
    <row r="2" spans="1:4" ht="30" customHeight="1" x14ac:dyDescent="0.3"/>
    <row r="3" spans="1:4" x14ac:dyDescent="0.3">
      <c r="B3" t="s">
        <v>7</v>
      </c>
    </row>
    <row r="4" spans="1:4" x14ac:dyDescent="0.3">
      <c r="B4" t="s">
        <v>8</v>
      </c>
    </row>
    <row r="5" spans="1:4" x14ac:dyDescent="0.3">
      <c r="B5" t="s">
        <v>9</v>
      </c>
    </row>
    <row r="6" spans="1:4" x14ac:dyDescent="0.3">
      <c r="B6" t="s">
        <v>10</v>
      </c>
    </row>
    <row r="7" spans="1:4" x14ac:dyDescent="0.3">
      <c r="B7" t="s">
        <v>11</v>
      </c>
    </row>
    <row r="9" spans="1:4" x14ac:dyDescent="0.3">
      <c r="B9" t="s">
        <v>12</v>
      </c>
    </row>
    <row r="10" spans="1:4" s="2" customFormat="1" x14ac:dyDescent="0.3">
      <c r="A10"/>
      <c r="B10" t="s">
        <v>13</v>
      </c>
      <c r="C10"/>
    </row>
    <row r="11" spans="1:4" s="2" customFormat="1" x14ac:dyDescent="0.3">
      <c r="A11"/>
      <c r="B11"/>
      <c r="C11"/>
    </row>
    <row r="12" spans="1:4" ht="18" x14ac:dyDescent="0.35">
      <c r="B12" s="3" t="s">
        <v>1</v>
      </c>
    </row>
    <row r="13" spans="1:4" ht="18" x14ac:dyDescent="0.35">
      <c r="B13" s="3" t="s">
        <v>2</v>
      </c>
    </row>
    <row r="14" spans="1:4" x14ac:dyDescent="0.3">
      <c r="B14" t="s">
        <v>0</v>
      </c>
    </row>
    <row r="16" spans="1:4" x14ac:dyDescent="0.3">
      <c r="B16" t="s">
        <v>3</v>
      </c>
    </row>
    <row r="17" spans="2:2" x14ac:dyDescent="0.3">
      <c r="B17" t="s">
        <v>4</v>
      </c>
    </row>
    <row r="19" spans="2:2" x14ac:dyDescent="0.3">
      <c r="B19" s="1"/>
    </row>
    <row r="20" spans="2:2" x14ac:dyDescent="0.3">
      <c r="B20" s="1"/>
    </row>
    <row r="21" spans="2:2" x14ac:dyDescent="0.3">
      <c r="B21" s="1"/>
    </row>
    <row r="22" spans="2:2" x14ac:dyDescent="0.3">
      <c r="B22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4"/>
  <sheetViews>
    <sheetView workbookViewId="0">
      <selection activeCell="C7" sqref="C7"/>
    </sheetView>
  </sheetViews>
  <sheetFormatPr defaultRowHeight="14.4" x14ac:dyDescent="0.3"/>
  <cols>
    <col min="1" max="1" width="124.33203125" customWidth="1"/>
  </cols>
  <sheetData>
    <row r="1" spans="1:1" ht="23.4" x14ac:dyDescent="0.45">
      <c r="A1" s="5" t="s">
        <v>6</v>
      </c>
    </row>
    <row r="2" spans="1:1" ht="30" customHeight="1" x14ac:dyDescent="0.3">
      <c r="A2" s="4"/>
    </row>
    <row r="3" spans="1:1" x14ac:dyDescent="0.3">
      <c r="A3" t="s">
        <v>16</v>
      </c>
    </row>
    <row r="4" spans="1:1" x14ac:dyDescent="0.3">
      <c r="A4" t="s">
        <v>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Button_DeleteFiles_Click">
                <anchor moveWithCells="1">
                  <from>
                    <xdr:col>0</xdr:col>
                    <xdr:colOff>1737360</xdr:colOff>
                    <xdr:row>1</xdr:row>
                    <xdr:rowOff>22860</xdr:rowOff>
                  </from>
                  <to>
                    <xdr:col>0</xdr:col>
                    <xdr:colOff>6347460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14D0D-DC8C-4816-8E3C-803D2F744EBE}">
  <dimension ref="A1:L7"/>
  <sheetViews>
    <sheetView tabSelected="1" zoomScale="77" zoomScaleNormal="115" workbookViewId="0">
      <selection activeCell="L44" sqref="L44"/>
    </sheetView>
  </sheetViews>
  <sheetFormatPr defaultRowHeight="14.4" x14ac:dyDescent="0.3"/>
  <cols>
    <col min="1" max="13" width="21.6640625" customWidth="1"/>
  </cols>
  <sheetData>
    <row r="1" spans="1:12" s="4" customFormat="1" ht="22.8" customHeight="1" x14ac:dyDescent="0.3">
      <c r="A1" s="4" t="s">
        <v>40</v>
      </c>
      <c r="B1" s="4" t="s">
        <v>27</v>
      </c>
      <c r="C1" s="4" t="s">
        <v>26</v>
      </c>
      <c r="D1" s="4" t="s">
        <v>25</v>
      </c>
      <c r="E1" s="4" t="s">
        <v>24</v>
      </c>
      <c r="F1" s="4" t="s">
        <v>23</v>
      </c>
      <c r="G1" s="4" t="s">
        <v>22</v>
      </c>
      <c r="H1" s="4" t="s">
        <v>21</v>
      </c>
      <c r="I1" s="4" t="s">
        <v>20</v>
      </c>
      <c r="J1" s="4" t="s">
        <v>19</v>
      </c>
      <c r="K1" s="4" t="s">
        <v>18</v>
      </c>
      <c r="L1" s="4" t="s">
        <v>17</v>
      </c>
    </row>
    <row r="2" spans="1:12" s="4" customFormat="1" ht="22.8" customHeight="1" x14ac:dyDescent="0.3">
      <c r="A2" s="7">
        <v>0.8</v>
      </c>
      <c r="B2" s="7">
        <v>1842.046</v>
      </c>
      <c r="C2" s="7">
        <v>1</v>
      </c>
      <c r="D2" s="7">
        <v>0.70117209999999996</v>
      </c>
      <c r="E2" s="7">
        <v>9.1296640000000006E-5</v>
      </c>
      <c r="F2" s="7">
        <v>3.0508919999999998E-2</v>
      </c>
      <c r="G2" s="7">
        <v>2.1001190000000001E-3</v>
      </c>
      <c r="H2" s="7">
        <v>4.1069679999999998E-6</v>
      </c>
      <c r="I2" s="7">
        <v>3.6943869999999999E-3</v>
      </c>
      <c r="J2" s="7">
        <v>1.1163220000000001E-3</v>
      </c>
      <c r="K2" s="7">
        <v>4.3809459999999998E-6</v>
      </c>
      <c r="L2" s="7">
        <v>2.7988189999999998E-4</v>
      </c>
    </row>
    <row r="3" spans="1:12" s="4" customFormat="1" ht="22.8" customHeight="1" x14ac:dyDescent="0.3">
      <c r="A3" s="7">
        <v>0.9</v>
      </c>
      <c r="B3" s="7">
        <v>1956.1179999999999</v>
      </c>
      <c r="C3" s="7">
        <v>1</v>
      </c>
      <c r="D3" s="7">
        <v>0.6927759</v>
      </c>
      <c r="E3" s="7">
        <v>1.93585E-4</v>
      </c>
      <c r="F3" s="7">
        <v>1.433223E-2</v>
      </c>
      <c r="G3" s="7">
        <v>2.5971079999999999E-3</v>
      </c>
      <c r="H3" s="7">
        <v>1.8596219999999999E-6</v>
      </c>
      <c r="I3" s="7">
        <v>4.0191259999999996E-3</v>
      </c>
      <c r="J3" s="7">
        <v>4.4431510000000001E-4</v>
      </c>
      <c r="K3" s="7">
        <v>1.7282119999999999E-6</v>
      </c>
      <c r="L3" s="7">
        <v>2.4608900000000001E-4</v>
      </c>
    </row>
    <row r="4" spans="1:12" s="4" customFormat="1" ht="22.8" customHeight="1" x14ac:dyDescent="0.3">
      <c r="A4" s="7">
        <v>1</v>
      </c>
      <c r="B4" s="7">
        <v>2035.8869999999999</v>
      </c>
      <c r="C4" s="7">
        <v>1</v>
      </c>
      <c r="D4" s="7">
        <v>0.6840463</v>
      </c>
      <c r="E4" s="7">
        <v>3.5749110000000002E-4</v>
      </c>
      <c r="F4" s="7">
        <v>3.3827079999999999E-3</v>
      </c>
      <c r="G4" s="7">
        <v>1.526976E-3</v>
      </c>
      <c r="H4" s="7">
        <v>5.8543249999999998E-7</v>
      </c>
      <c r="I4" s="7">
        <v>2.0346629999999999E-3</v>
      </c>
      <c r="J4" s="7">
        <v>2.015889E-4</v>
      </c>
      <c r="K4" s="7">
        <v>2.1454450000000001E-7</v>
      </c>
      <c r="L4" s="7">
        <v>7.3951650000000002E-4</v>
      </c>
    </row>
    <row r="5" spans="1:12" s="4" customFormat="1" ht="22.8" customHeight="1" x14ac:dyDescent="0.3">
      <c r="A5" s="7">
        <v>1.1000000000000001</v>
      </c>
      <c r="B5" s="7">
        <v>1995.2560000000001</v>
      </c>
      <c r="C5" s="7">
        <v>1</v>
      </c>
      <c r="D5" s="7">
        <v>0.66963629999999996</v>
      </c>
      <c r="E5" s="7">
        <v>4.2457500000000001E-4</v>
      </c>
      <c r="F5" s="7">
        <v>2.219642E-3</v>
      </c>
      <c r="G5" s="7">
        <v>5.1023119999999995E-4</v>
      </c>
      <c r="H5" s="7">
        <v>4.7811469999999999E-7</v>
      </c>
      <c r="I5" s="7">
        <v>6.958194E-4</v>
      </c>
      <c r="J5" s="7">
        <v>1.3164319999999999E-4</v>
      </c>
      <c r="K5" s="7">
        <v>3.1266080000000003E-8</v>
      </c>
      <c r="L5" s="7">
        <v>4.9682370000000003E-3</v>
      </c>
    </row>
    <row r="6" spans="1:12" s="4" customFormat="1" ht="22.8" customHeight="1" x14ac:dyDescent="0.3">
      <c r="A6" s="7">
        <v>1.2</v>
      </c>
      <c r="B6" s="7">
        <v>1933.528</v>
      </c>
      <c r="C6" s="7">
        <v>1</v>
      </c>
      <c r="D6" s="7">
        <v>0.65477909999999995</v>
      </c>
      <c r="E6" s="7">
        <v>4.2650460000000001E-4</v>
      </c>
      <c r="F6" s="7">
        <v>2.2678870000000001E-3</v>
      </c>
      <c r="G6" s="7">
        <v>2.7209389999999998E-4</v>
      </c>
      <c r="H6" s="7">
        <v>5.3423220000000003E-7</v>
      </c>
      <c r="I6" s="7">
        <v>4.1242379999999998E-4</v>
      </c>
      <c r="J6" s="7">
        <v>1.095418E-4</v>
      </c>
      <c r="K6" s="7">
        <v>1.7868570000000001E-8</v>
      </c>
      <c r="L6" s="7">
        <v>1.166973E-2</v>
      </c>
    </row>
    <row r="7" spans="1:12" s="4" customFormat="1" ht="22.8" customHeight="1" x14ac:dyDescent="0.3">
      <c r="A7" s="7">
        <v>1.3</v>
      </c>
      <c r="B7" s="7">
        <v>1873.615</v>
      </c>
      <c r="C7" s="7">
        <v>1</v>
      </c>
      <c r="D7" s="7">
        <v>0.6408741</v>
      </c>
      <c r="E7" s="7">
        <v>3.8613569999999998E-4</v>
      </c>
      <c r="F7" s="7">
        <v>2.6310050000000001E-3</v>
      </c>
      <c r="G7" s="7">
        <v>1.6495769999999999E-4</v>
      </c>
      <c r="H7" s="7">
        <v>6.4196809999999996E-7</v>
      </c>
      <c r="I7" s="7">
        <v>2.9600440000000002E-4</v>
      </c>
      <c r="J7" s="7">
        <v>1.067331E-4</v>
      </c>
      <c r="K7" s="7">
        <v>1.7517740000000002E-8</v>
      </c>
      <c r="L7" s="7">
        <v>2.0831659999999998E-2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4892F-9CB9-46EE-850E-75B85FF9B6F7}">
  <dimension ref="A1:L8"/>
  <sheetViews>
    <sheetView workbookViewId="0">
      <selection activeCell="G13" sqref="G13"/>
    </sheetView>
  </sheetViews>
  <sheetFormatPr defaultRowHeight="14.4" x14ac:dyDescent="0.3"/>
  <cols>
    <col min="1" max="13" width="33.33203125" customWidth="1"/>
    <col min="14" max="14" width="23.77734375" customWidth="1"/>
  </cols>
  <sheetData>
    <row r="1" spans="1:12" x14ac:dyDescent="0.3">
      <c r="A1" t="s">
        <v>28</v>
      </c>
      <c r="B1" t="s">
        <v>39</v>
      </c>
      <c r="C1" t="s">
        <v>38</v>
      </c>
      <c r="D1" t="s">
        <v>37</v>
      </c>
      <c r="E1" t="s">
        <v>36</v>
      </c>
      <c r="F1" t="s">
        <v>35</v>
      </c>
      <c r="G1" t="s">
        <v>34</v>
      </c>
      <c r="H1" t="s">
        <v>33</v>
      </c>
      <c r="I1" t="s">
        <v>32</v>
      </c>
      <c r="J1" t="s">
        <v>31</v>
      </c>
      <c r="K1" t="s">
        <v>30</v>
      </c>
      <c r="L1" t="s">
        <v>29</v>
      </c>
    </row>
    <row r="2" spans="1:12" x14ac:dyDescent="0.3">
      <c r="A2" s="6">
        <v>1</v>
      </c>
      <c r="B2" s="6">
        <v>6.0392260000000006E-8</v>
      </c>
      <c r="C2" s="6">
        <v>4.1785989999999999E-6</v>
      </c>
      <c r="D2" s="6">
        <v>1.2613140000000001E-5</v>
      </c>
      <c r="E2" s="6">
        <v>-7.7147420000000001E-5</v>
      </c>
      <c r="F2" s="6">
        <v>-2.658284E-6</v>
      </c>
      <c r="G2" s="6">
        <v>-2.2747430000000001E-6</v>
      </c>
      <c r="H2" s="6">
        <v>1.1833960000000001E-6</v>
      </c>
      <c r="I2" s="6">
        <v>2.768674E-5</v>
      </c>
      <c r="J2" s="6">
        <v>3.4046930000000003E-5</v>
      </c>
      <c r="K2" s="6">
        <v>-2.354724E-7</v>
      </c>
      <c r="L2" s="6">
        <v>6.0831630000000001E-6</v>
      </c>
    </row>
    <row r="3" spans="1:12" x14ac:dyDescent="0.3">
      <c r="A3" s="6">
        <v>2</v>
      </c>
      <c r="B3" s="6">
        <v>6.0399910000000003E-8</v>
      </c>
      <c r="C3" s="6">
        <v>4.1785870000000004E-6</v>
      </c>
      <c r="D3" s="6">
        <v>1.2613090000000001E-5</v>
      </c>
      <c r="E3" s="6">
        <v>-7.714741E-5</v>
      </c>
      <c r="F3" s="6">
        <v>-2.658277E-6</v>
      </c>
      <c r="G3" s="6">
        <v>-2.2747500000000001E-6</v>
      </c>
      <c r="H3" s="6">
        <v>1.183395E-6</v>
      </c>
      <c r="I3" s="6">
        <v>2.7686710000000001E-5</v>
      </c>
      <c r="J3" s="6">
        <v>3.4047000000000001E-5</v>
      </c>
      <c r="K3" s="6">
        <v>-2.354751E-7</v>
      </c>
      <c r="L3" s="6">
        <v>6.0831549999999999E-6</v>
      </c>
    </row>
    <row r="4" spans="1:12" x14ac:dyDescent="0.3">
      <c r="A4" s="6">
        <v>3</v>
      </c>
      <c r="B4" s="6">
        <v>1.206951E-7</v>
      </c>
      <c r="C4" s="6">
        <v>8.5431839999999993E-6</v>
      </c>
      <c r="D4" s="6">
        <v>1.895732E-5</v>
      </c>
      <c r="E4" s="6">
        <v>-8.2871270000000005E-5</v>
      </c>
      <c r="F4" s="6">
        <v>-4.5087270000000002E-6</v>
      </c>
      <c r="G4" s="6">
        <v>-4.6589039999999997E-6</v>
      </c>
      <c r="H4" s="6">
        <v>9.4932830000000002E-7</v>
      </c>
      <c r="I4" s="6">
        <v>3.0923300000000003E-5</v>
      </c>
      <c r="J4" s="6">
        <v>3.2094480000000001E-5</v>
      </c>
      <c r="K4" s="6">
        <v>-2.4956999999999998E-7</v>
      </c>
      <c r="L4" s="6">
        <v>5.5546110000000002E-6</v>
      </c>
    </row>
    <row r="5" spans="1:12" x14ac:dyDescent="0.3">
      <c r="A5" s="6">
        <v>4</v>
      </c>
      <c r="B5" s="6">
        <v>2.076041E-7</v>
      </c>
      <c r="C5" s="6">
        <v>2.55061E-5</v>
      </c>
      <c r="D5" s="6">
        <v>2.9925249999999999E-5</v>
      </c>
      <c r="E5" s="6">
        <v>-8.5373100000000004E-5</v>
      </c>
      <c r="F5" s="6">
        <v>-1.316182E-5</v>
      </c>
      <c r="G5" s="6">
        <v>-1.525451E-5</v>
      </c>
      <c r="H5" s="6">
        <v>3.3275899999999998E-6</v>
      </c>
      <c r="I5" s="6">
        <v>3.0973879999999997E-5</v>
      </c>
      <c r="J5" s="6">
        <v>2.6966280000000002E-5</v>
      </c>
      <c r="K5" s="6">
        <v>-1.5356820000000001E-6</v>
      </c>
      <c r="L5" s="6">
        <v>7.9530320000000008E-6</v>
      </c>
    </row>
    <row r="6" spans="1:12" x14ac:dyDescent="0.3">
      <c r="A6" s="6">
        <v>5</v>
      </c>
      <c r="B6" s="6">
        <v>2.59321E-7</v>
      </c>
      <c r="C6" s="6">
        <v>5.0627419999999997E-5</v>
      </c>
      <c r="D6" s="6">
        <v>5.220162E-5</v>
      </c>
      <c r="E6" s="6">
        <v>-8.2602059999999997E-5</v>
      </c>
      <c r="F6" s="6">
        <v>-3.3321870000000002E-5</v>
      </c>
      <c r="G6" s="6">
        <v>-3.9820100000000002E-5</v>
      </c>
      <c r="H6" s="6">
        <v>1.7929849999999999E-5</v>
      </c>
      <c r="I6" s="6">
        <v>1.8862210000000001E-5</v>
      </c>
      <c r="J6" s="6">
        <v>1.7034360000000001E-5</v>
      </c>
      <c r="K6" s="6">
        <v>-1.201174E-5</v>
      </c>
      <c r="L6" s="6">
        <v>2.244908E-5</v>
      </c>
    </row>
    <row r="7" spans="1:12" x14ac:dyDescent="0.3">
      <c r="A7" s="6">
        <v>6</v>
      </c>
      <c r="B7" s="6">
        <v>2.688166E-7</v>
      </c>
      <c r="C7" s="6">
        <v>5.8872780000000002E-5</v>
      </c>
      <c r="D7" s="6">
        <v>6.7431189999999998E-5</v>
      </c>
      <c r="E7" s="6">
        <v>-8.1244969999999997E-5</v>
      </c>
      <c r="F7" s="6">
        <v>-4.5559190000000002E-5</v>
      </c>
      <c r="G7" s="6">
        <v>-5.5279999999999999E-5</v>
      </c>
      <c r="H7" s="6">
        <v>3.0510799999999999E-5</v>
      </c>
      <c r="I7" s="6">
        <v>1.145689E-5</v>
      </c>
      <c r="J7" s="6">
        <v>1.1790750000000001E-5</v>
      </c>
      <c r="K7" s="6">
        <v>-2.2968549999999999E-5</v>
      </c>
      <c r="L7" s="6">
        <v>3.4746660000000001E-5</v>
      </c>
    </row>
    <row r="8" spans="1:12" x14ac:dyDescent="0.3">
      <c r="A8" s="6">
        <v>7</v>
      </c>
      <c r="B8" s="6">
        <v>2.5541240000000001E-7</v>
      </c>
      <c r="C8" s="6">
        <v>6.0730380000000002E-5</v>
      </c>
      <c r="D8" s="6">
        <v>7.4047390000000005E-5</v>
      </c>
      <c r="E8" s="6">
        <v>-8.0389730000000003E-5</v>
      </c>
      <c r="F8" s="6">
        <v>-5.1759189999999997E-5</v>
      </c>
      <c r="G8" s="6">
        <v>-6.3099240000000003E-5</v>
      </c>
      <c r="H8" s="6">
        <v>3.994764E-5</v>
      </c>
      <c r="I8" s="6">
        <v>7.1572669999999998E-6</v>
      </c>
      <c r="J8" s="6">
        <v>8.9822640000000002E-6</v>
      </c>
      <c r="K8" s="6">
        <v>-3.1661970000000001E-5</v>
      </c>
      <c r="L8" s="6">
        <v>4.4161839999999997E-5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Files</vt:lpstr>
      <vt:lpstr>1.soln_vs_soln_number</vt:lpstr>
      <vt:lpstr>2.rop_vs_soln_number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Dipendra Dewangan</cp:lastModifiedBy>
  <dcterms:created xsi:type="dcterms:W3CDTF">2012-09-10T20:37:17Z</dcterms:created>
  <dcterms:modified xsi:type="dcterms:W3CDTF">2025-08-27T20:03:45Z</dcterms:modified>
</cp:coreProperties>
</file>